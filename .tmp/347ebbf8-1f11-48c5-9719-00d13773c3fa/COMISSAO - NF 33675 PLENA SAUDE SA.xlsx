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 - COMISSION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2"/>
    </font>
    <font>
      <b val="1"/>
      <color rgb="00FF0000"/>
    </font>
    <font>
      <i val="1"/>
      <color rgb="000000FF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8EA9DB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3" fillId="0" borderId="1" pivotButton="0" quotePrefix="0" xfId="0"/>
    <xf numFmtId="4" fontId="0" fillId="0" borderId="1" pivotButton="0" quotePrefix="0" xfId="0"/>
    <xf numFmtId="0" fontId="0" fillId="0" borderId="1" pivotButton="0" quotePrefix="0" xfId="0"/>
    <xf numFmtId="10" fontId="0" fillId="0" borderId="1" pivotButton="0" quotePrefix="0" xfId="0"/>
    <xf numFmtId="0" fontId="6" fillId="4" borderId="1" pivotButton="0" quotePrefix="0" xfId="0"/>
    <xf numFmtId="4" fontId="3" fillId="0" borderId="1" pivotButton="0" quotePrefix="0" xfId="0"/>
    <xf numFmtId="0" fontId="5" fillId="0" borderId="1" applyAlignment="1" pivotButton="0" quotePrefix="0" xfId="0">
      <alignment horizontal="center"/>
    </xf>
    <xf numFmtId="4" fontId="4" fillId="4" borderId="1" pivotButton="0" quotePrefix="0" xfId="0"/>
    <xf numFmtId="0" fontId="0" fillId="0" borderId="1" applyAlignment="1" pivotButton="0" quotePrefix="0" xfId="0">
      <alignment horizontal="center"/>
    </xf>
    <xf numFmtId="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5" customWidth="1" min="4" max="4"/>
    <col width="16" customWidth="1" min="5" max="5"/>
  </cols>
  <sheetData>
    <row r="2">
      <c r="A2" s="1" t="inlineStr">
        <is>
          <t>CONSUMO ISENTO - SP</t>
        </is>
      </c>
    </row>
    <row r="5">
      <c r="A5" s="2" t="inlineStr">
        <is>
          <t>921LD020700733 - NPDV FUSION PC 10.1   CX REG 2TPCAP IMP ETH PR DISP.CLI BRA *</t>
        </is>
      </c>
    </row>
    <row r="6"/>
    <row r="8">
      <c r="A8" s="3" t="inlineStr">
        <is>
          <t>CUSTO PROJETOS</t>
        </is>
      </c>
      <c r="B8" s="3" t="inlineStr">
        <is>
          <t>VENDA</t>
        </is>
      </c>
      <c r="C8" s="3" t="inlineStr">
        <is>
          <t>Diferença</t>
        </is>
      </c>
      <c r="D8" s="3" t="inlineStr">
        <is>
          <t xml:space="preserve">Frete </t>
        </is>
      </c>
      <c r="E8" s="3" t="inlineStr">
        <is>
          <t>Prazo</t>
        </is>
      </c>
    </row>
    <row r="9">
      <c r="A9" s="4" t="n">
        <v>3803.63</v>
      </c>
      <c r="B9" s="4" t="n">
        <v>4407.69</v>
      </c>
      <c r="C9" s="4">
        <f>B9-A9</f>
        <v/>
      </c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inlineStr">
        <is>
          <t>Diferença Aliquota (ICMS ST)</t>
        </is>
      </c>
      <c r="B12" s="6" t="n">
        <v>0</v>
      </c>
      <c r="C12" s="4">
        <f>C9-(C9/(1+B12))</f>
        <v/>
      </c>
      <c r="D12" s="5" t="n"/>
      <c r="E12" s="5" t="n"/>
    </row>
    <row r="13">
      <c r="A13" s="5" t="inlineStr">
        <is>
          <t>Difal</t>
        </is>
      </c>
      <c r="B13" s="6" t="n">
        <v>0.14</v>
      </c>
      <c r="C13" s="4">
        <f>C9*B13</f>
        <v/>
      </c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inlineStr">
        <is>
          <t>Comissao Sem Dif Aliquota</t>
        </is>
      </c>
      <c r="B15" s="5" t="n"/>
      <c r="C15" s="4">
        <f>C9-C12</f>
        <v/>
      </c>
      <c r="D15" s="5" t="n"/>
      <c r="E15" s="5" t="n"/>
    </row>
    <row r="16">
      <c r="A16" s="5" t="inlineStr">
        <is>
          <t>Comissao Sem Difal</t>
        </is>
      </c>
      <c r="B16" s="5" t="n"/>
      <c r="C16" s="4">
        <f>0</f>
        <v/>
      </c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3" t="inlineStr">
        <is>
          <t>Comissão bruta</t>
        </is>
      </c>
      <c r="B18" s="5" t="n"/>
      <c r="C18" s="4">
        <f>(C16-C15*-1)-C13</f>
        <v/>
      </c>
      <c r="D18" s="5" t="n"/>
      <c r="E18" s="5" t="n"/>
    </row>
    <row r="19">
      <c r="A19" s="5" t="inlineStr">
        <is>
          <t>IPI</t>
        </is>
      </c>
      <c r="B19" s="6" t="n">
        <v>0.15</v>
      </c>
      <c r="C19" s="4">
        <f>C18-C18/(1+B19)</f>
        <v/>
      </c>
      <c r="D19" s="5" t="n"/>
      <c r="E19" s="5" t="n"/>
    </row>
    <row r="20">
      <c r="A20" s="5" t="inlineStr">
        <is>
          <t>PIS</t>
        </is>
      </c>
      <c r="B20" s="6" t="n">
        <v>0.0165</v>
      </c>
      <c r="C20" s="4">
        <f>(C18-C19)*B20</f>
        <v/>
      </c>
      <c r="D20" s="5" t="n"/>
      <c r="E20" s="5" t="n"/>
    </row>
    <row r="21">
      <c r="A21" s="5" t="inlineStr">
        <is>
          <t>COFINS</t>
        </is>
      </c>
      <c r="B21" s="6" t="n">
        <v>0.076</v>
      </c>
      <c r="C21" s="4">
        <f>(C18-C19)*B21</f>
        <v/>
      </c>
      <c r="D21" s="5" t="n"/>
      <c r="E21" s="5" t="n"/>
    </row>
    <row r="22">
      <c r="A22" s="5" t="inlineStr">
        <is>
          <t>ICMS</t>
        </is>
      </c>
      <c r="B22" s="6" t="n">
        <v>0.04</v>
      </c>
      <c r="C22" s="4">
        <f>(C18-C19)*B22</f>
        <v/>
      </c>
      <c r="D22" s="5" t="n"/>
      <c r="E22" s="5" t="n"/>
    </row>
    <row r="23">
      <c r="A23" s="7" t="inlineStr">
        <is>
          <t>Previsao Parcelas (NF):</t>
        </is>
      </c>
      <c r="B23" s="5" t="n"/>
      <c r="C23" s="8">
        <f>C18/(1+B19)*(1-B20-B21-B22)</f>
        <v/>
      </c>
      <c r="D23" s="9" t="n">
        <v>3</v>
      </c>
      <c r="E23" s="10">
        <f>C23*D23</f>
        <v/>
      </c>
    </row>
    <row r="24">
      <c r="A24" s="5" t="n"/>
      <c r="B24" s="5" t="n"/>
      <c r="C24" s="5" t="n"/>
      <c r="D24" s="11" t="inlineStr">
        <is>
          <t>20/02/2026</t>
        </is>
      </c>
      <c r="E24" s="12">
        <f>E23/3</f>
        <v/>
      </c>
    </row>
    <row r="25">
      <c r="A25" s="5" t="n"/>
      <c r="B25" s="5" t="n"/>
      <c r="C25" s="5" t="n"/>
      <c r="D25" s="11" t="inlineStr">
        <is>
          <t>20/03/2026</t>
        </is>
      </c>
      <c r="E25" s="12">
        <f>E23/3</f>
        <v/>
      </c>
    </row>
    <row r="26">
      <c r="A26" s="5" t="n"/>
      <c r="B26" s="5" t="n"/>
      <c r="C26" s="5" t="n"/>
      <c r="D26" s="11" t="inlineStr">
        <is>
          <t>20/04/2026</t>
        </is>
      </c>
      <c r="E26" s="12">
        <f>E23/3</f>
        <v/>
      </c>
    </row>
  </sheetData>
  <mergeCells count="2">
    <mergeCell ref="A2:E2"/>
    <mergeCell ref="A5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2026-03-16T16:25:43Z</dcterms:created>
  <dcterms:modified xsi:type="dcterms:W3CDTF">2026-03-16T16:25:43Z</dcterms:modified>
</cp:coreProperties>
</file>