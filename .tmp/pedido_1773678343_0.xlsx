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esktop\PEDIDOS\CONTECMASTER\"/>
    </mc:Choice>
  </mc:AlternateContent>
  <xr:revisionPtr revIDLastSave="0" documentId="13_ncr:1_{444C731D-BA12-4F52-950A-EBE15E2AC186}" xr6:coauthVersionLast="47" xr6:coauthVersionMax="47" xr10:uidLastSave="{00000000-0000-0000-0000-000000000000}"/>
  <bookViews>
    <workbookView xWindow="-108" yWindow="-108" windowWidth="23256" windowHeight="12456" xr2:uid="{FA6F9DCD-4AE0-4FD1-92CF-7207AFF16747}"/>
  </bookViews>
  <sheets>
    <sheet name="RQCM 00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 l="1"/>
  <c r="E42" i="2"/>
  <c r="E43" i="2"/>
  <c r="E46" i="2" l="1"/>
  <c r="E31" i="2"/>
</calcChain>
</file>

<file path=xl/sharedStrings.xml><?xml version="1.0" encoding="utf-8"?>
<sst xmlns="http://schemas.openxmlformats.org/spreadsheetml/2006/main" count="96" uniqueCount="79">
  <si>
    <t>Registro da Qualidade</t>
  </si>
  <si>
    <t xml:space="preserve">RQ CM001 </t>
  </si>
  <si>
    <t>POS</t>
  </si>
  <si>
    <t xml:space="preserve">Pedido de venda </t>
  </si>
  <si>
    <t>Versão: 05</t>
  </si>
  <si>
    <t>Pag. 1/1</t>
  </si>
  <si>
    <t xml:space="preserve">OEM </t>
  </si>
  <si>
    <t>AGENCIAMENTO</t>
  </si>
  <si>
    <t>SERVICE CENTER</t>
  </si>
  <si>
    <t>DADOS DO CLIENTE PARA FATURAMENTO</t>
  </si>
  <si>
    <t>OUTROS</t>
  </si>
  <si>
    <t>Segmento:</t>
  </si>
  <si>
    <t>Finalidade da venda Revenda ou Consumo</t>
  </si>
  <si>
    <t>Data do Pedido</t>
  </si>
  <si>
    <t>NOME</t>
  </si>
  <si>
    <t>Nome Fantasia</t>
  </si>
  <si>
    <t>CNPJ</t>
  </si>
  <si>
    <t>Inscrição Estadual</t>
  </si>
  <si>
    <t>Endereço Faturamento</t>
  </si>
  <si>
    <t>Complemento</t>
  </si>
  <si>
    <t>Cidade</t>
  </si>
  <si>
    <t>SÃO PAULO</t>
  </si>
  <si>
    <t>Estado</t>
  </si>
  <si>
    <t>SP</t>
  </si>
  <si>
    <t>Bairro</t>
  </si>
  <si>
    <t>Cep</t>
  </si>
  <si>
    <t>REFERÊNCIA</t>
  </si>
  <si>
    <t>E-mail comercial</t>
  </si>
  <si>
    <t>E-mail para envio de NF</t>
  </si>
  <si>
    <t xml:space="preserve">CONTATO </t>
  </si>
  <si>
    <t>Celular</t>
  </si>
  <si>
    <t xml:space="preserve">Endereço entrega: </t>
  </si>
  <si>
    <t>OBS.:</t>
  </si>
  <si>
    <t>CONDIÇÕES COMERCIAIS</t>
  </si>
  <si>
    <t>Prazo de pagamento</t>
  </si>
  <si>
    <t>Frete (CIF ou FOB)</t>
  </si>
  <si>
    <t>CIF</t>
  </si>
  <si>
    <t>ST/Diferença de Alíquota inclusa (Sim ou Não)</t>
  </si>
  <si>
    <t>SIM</t>
  </si>
  <si>
    <t>INFORMAÇÕES DA VENDA PARA FATURAMENTO</t>
  </si>
  <si>
    <t>Quantidade</t>
  </si>
  <si>
    <t>Código do Produto</t>
  </si>
  <si>
    <t>Descrição</t>
  </si>
  <si>
    <t>Preço Unitário</t>
  </si>
  <si>
    <t>Total</t>
  </si>
  <si>
    <t>VALOR TOTAL</t>
  </si>
  <si>
    <t>DADOS DA REVENDA PARA COMISSIONAMENTO</t>
  </si>
  <si>
    <t>Razao Social</t>
  </si>
  <si>
    <t>CONTECMASTER SOLUCOES, COMERCIO E SERVICOS DE INFORMATICA LTDA</t>
  </si>
  <si>
    <t>CONTECMASTER</t>
  </si>
  <si>
    <t>08.950.093/0001-27</t>
  </si>
  <si>
    <t>IE</t>
  </si>
  <si>
    <t>141.534.065.118</t>
  </si>
  <si>
    <t>Contato</t>
  </si>
  <si>
    <t>aline@contecmaster.com.br</t>
  </si>
  <si>
    <t>Tel Fixo</t>
  </si>
  <si>
    <t>11 5171-7210</t>
  </si>
  <si>
    <t>E-mail</t>
  </si>
  <si>
    <t>11 98491-4487</t>
  </si>
  <si>
    <t>CUSTO REVENDA PARA EFEITOS DE COMISSIONAMENTO</t>
  </si>
  <si>
    <t>Custo Unitário</t>
  </si>
  <si>
    <t>Custo Total</t>
  </si>
  <si>
    <t>Dólar R$</t>
  </si>
  <si>
    <t>30/60</t>
  </si>
  <si>
    <t>PLENA SAUDE S.A.</t>
  </si>
  <si>
    <t>PLENA SAUDE</t>
  </si>
  <si>
    <t>00.338.763/0001-47</t>
  </si>
  <si>
    <t>AVENIDA RAIMUNDO PEREIRA DE MAGALHAES, 12575</t>
  </si>
  <si>
    <t>SALA 03</t>
  </si>
  <si>
    <t>JARDIM MARILU</t>
  </si>
  <si>
    <t>02989-095</t>
  </si>
  <si>
    <t>(11)97668-1043</t>
  </si>
  <si>
    <t>luan.francisco@plenasaude.com.br</t>
  </si>
  <si>
    <t>Luan Francisco Savarsese</t>
  </si>
  <si>
    <t>CONSUMO</t>
  </si>
  <si>
    <t>Av. Raimundo Pereira de Magalhães, 12575 - Vila Pirituba, São Paulo - SP, 02938-000</t>
  </si>
  <si>
    <t>Favor enviar copia da NF para o e-mail aline@contecmaster.com.br
Forma de Pagamento: 50% Ato = R$ 6.611,53 + 30/60
Condição aprovada pelo Carlos.</t>
  </si>
  <si>
    <t>921LD020700733</t>
  </si>
  <si>
    <t>NPDV FUSION PC 10.1   CX REG 2TPCAP IMP ETH PR DISP.CLI BRA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</si>
</sst>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416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8"/>
      <name val="Arial"/>
      <family val="2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9" fillId="0" borderId="0"/>
    <xf numFmtId="0" fontId="5" fillId="0" borderId="0" applyNumberFormat="0" applyFill="0" applyBorder="0" applyAlignment="0" applyProtection="0"/>
  </cellStyleXfs>
  <cellXfs count="131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4" fontId="1" fillId="0" borderId="1" xfId="1" applyFont="1" applyFill="1" applyBorder="1" applyAlignment="1">
      <alignment horizontal="left" vertical="center"/>
    </xf>
    <xf numFmtId="44" fontId="2" fillId="0" borderId="5" xfId="1" applyFont="1" applyFill="1" applyBorder="1" applyAlignment="1">
      <alignment horizontal="left" vertical="center"/>
    </xf>
    <xf numFmtId="44" fontId="2" fillId="0" borderId="16" xfId="1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44" fontId="2" fillId="2" borderId="19" xfId="1" applyFont="1" applyFill="1" applyBorder="1"/>
    <xf numFmtId="0" fontId="0" fillId="0" borderId="24" xfId="0" applyBorder="1"/>
    <xf numFmtId="0" fontId="0" fillId="0" borderId="15" xfId="0" applyBorder="1"/>
    <xf numFmtId="0" fontId="2" fillId="0" borderId="8" xfId="0" applyFont="1" applyBorder="1" applyAlignment="1">
      <alignment horizontal="left" vertical="center"/>
    </xf>
    <xf numFmtId="0" fontId="2" fillId="0" borderId="0" xfId="0" applyFont="1"/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0" xfId="0" applyFont="1"/>
    <xf numFmtId="0" fontId="2" fillId="0" borderId="33" xfId="0" applyFont="1" applyBorder="1" applyAlignment="1">
      <alignment horizontal="left" vertical="center"/>
    </xf>
    <xf numFmtId="0" fontId="12" fillId="6" borderId="0" xfId="3" applyFont="1" applyFill="1"/>
    <xf numFmtId="0" fontId="2" fillId="6" borderId="26" xfId="0" applyFont="1" applyFill="1" applyBorder="1" applyAlignment="1">
      <alignment horizontal="left" vertical="center"/>
    </xf>
    <xf numFmtId="0" fontId="10" fillId="6" borderId="26" xfId="0" applyFont="1" applyFill="1" applyBorder="1"/>
    <xf numFmtId="0" fontId="10" fillId="6" borderId="27" xfId="0" applyFont="1" applyFill="1" applyBorder="1"/>
    <xf numFmtId="0" fontId="8" fillId="6" borderId="0" xfId="3" applyFont="1" applyFill="1"/>
    <xf numFmtId="0" fontId="6" fillId="6" borderId="27" xfId="0" applyFont="1" applyFill="1" applyBorder="1"/>
    <xf numFmtId="0" fontId="3" fillId="3" borderId="1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2" applyAlignment="1">
      <alignment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vertical="center" wrapText="1"/>
    </xf>
    <xf numFmtId="0" fontId="3" fillId="3" borderId="18" xfId="0" applyFont="1" applyFill="1" applyBorder="1" applyAlignment="1">
      <alignment vertical="center"/>
    </xf>
    <xf numFmtId="0" fontId="3" fillId="3" borderId="37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44" fontId="2" fillId="2" borderId="27" xfId="1" applyFont="1" applyFill="1" applyBorder="1"/>
    <xf numFmtId="0" fontId="1" fillId="0" borderId="1" xfId="4" applyFont="1" applyBorder="1" applyAlignment="1">
      <alignment horizontal="left" vertical="center"/>
    </xf>
    <xf numFmtId="44" fontId="0" fillId="0" borderId="2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4" fontId="1" fillId="0" borderId="1" xfId="1" applyFont="1" applyBorder="1" applyAlignment="1">
      <alignment horizontal="left" vertical="center"/>
    </xf>
    <xf numFmtId="44" fontId="2" fillId="0" borderId="5" xfId="1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44" fontId="1" fillId="0" borderId="8" xfId="1" applyFont="1" applyBorder="1" applyAlignment="1">
      <alignment horizontal="left" vertical="center"/>
    </xf>
    <xf numFmtId="44" fontId="2" fillId="0" borderId="14" xfId="1" applyFont="1" applyBorder="1" applyAlignment="1">
      <alignment horizontal="left" vertical="center"/>
    </xf>
    <xf numFmtId="0" fontId="14" fillId="0" borderId="42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1" fillId="0" borderId="10" xfId="0" quotePrefix="1" applyFont="1" applyBorder="1" applyAlignment="1">
      <alignment horizontal="left" vertical="center"/>
    </xf>
    <xf numFmtId="0" fontId="5" fillId="0" borderId="6" xfId="2" applyBorder="1" applyAlignment="1">
      <alignment horizontal="left" vertical="center"/>
    </xf>
    <xf numFmtId="44" fontId="0" fillId="0" borderId="0" xfId="0" applyNumberFormat="1"/>
    <xf numFmtId="164" fontId="2" fillId="0" borderId="43" xfId="0" applyNumberFormat="1" applyFont="1" applyBorder="1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5" fillId="0" borderId="8" xfId="5" applyBorder="1" applyAlignment="1">
      <alignment horizontal="left" vertical="center"/>
    </xf>
    <xf numFmtId="0" fontId="5" fillId="0" borderId="1" xfId="5" applyBorder="1" applyAlignment="1">
      <alignment horizontal="left" vertical="center"/>
    </xf>
    <xf numFmtId="3" fontId="0" fillId="0" borderId="5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3" fontId="14" fillId="0" borderId="6" xfId="0" applyNumberFormat="1" applyFont="1" applyBorder="1" applyAlignment="1">
      <alignment horizontal="left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0" fillId="0" borderId="2" xfId="0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13" fillId="0" borderId="38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40" xfId="0" applyFont="1" applyBorder="1" applyAlignment="1">
      <alignment horizontal="left" vertical="center"/>
    </xf>
    <xf numFmtId="0" fontId="13" fillId="0" borderId="35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13" fillId="0" borderId="36" xfId="0" applyFont="1" applyBorder="1" applyAlignment="1">
      <alignment horizontal="left" vertical="center"/>
    </xf>
    <xf numFmtId="0" fontId="2" fillId="5" borderId="17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5" borderId="26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</cellXfs>
  <cellStyles count="6">
    <cellStyle name="Cancel 2" xfId="3" xr:uid="{14C26495-21F2-4A7C-818F-9C19923988EB}"/>
    <cellStyle name="Hiperlink" xfId="2" builtinId="8"/>
    <cellStyle name="Hyperlink" xfId="5" xr:uid="{00000000-000B-0000-0000-000008000000}"/>
    <cellStyle name="Moeda" xfId="1" builtinId="4"/>
    <cellStyle name="Normal" xfId="0" builtinId="0"/>
    <cellStyle name="Normal 7 2" xfId="4" xr:uid="{BC0D4233-BB78-4400-BD78-B244443CBE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779318</xdr:colOff>
      <xdr:row>0</xdr:row>
      <xdr:rowOff>346194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FAD2313-2199-9D2D-AF0D-606A52DC3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8023" cy="3461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an.francisco@plenasaude.com.br" TargetMode="External"/><Relationship Id="rId2" Type="http://schemas.openxmlformats.org/officeDocument/2006/relationships/hyperlink" Target="mailto:aline@contecmaster.com.br" TargetMode="External"/><Relationship Id="rId1" Type="http://schemas.openxmlformats.org/officeDocument/2006/relationships/hyperlink" Target="mailto:aline@contecmaster.com.br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uan.francisco@plenasaude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BF527-06E5-4C3C-B48D-81E5BD65A844}">
  <dimension ref="A1:J47"/>
  <sheetViews>
    <sheetView showGridLines="0" tabSelected="1" topLeftCell="A2" zoomScale="110" zoomScaleNormal="110" workbookViewId="0">
      <selection activeCell="B48" sqref="B48"/>
    </sheetView>
  </sheetViews>
  <sheetFormatPr defaultColWidth="8.6640625" defaultRowHeight="14.4" x14ac:dyDescent="0.3"/>
  <cols>
    <col min="1" max="1" width="10.6640625" customWidth="1"/>
    <col min="2" max="2" width="18.6640625" customWidth="1"/>
    <col min="3" max="3" width="65.6640625" bestFit="1" customWidth="1"/>
    <col min="4" max="4" width="22.109375" customWidth="1"/>
    <col min="5" max="5" width="32.88671875" bestFit="1" customWidth="1"/>
    <col min="6" max="6" width="11.109375" bestFit="1" customWidth="1"/>
    <col min="10" max="10" width="0" hidden="1" customWidth="1"/>
  </cols>
  <sheetData>
    <row r="1" spans="1:10" ht="33.75" customHeight="1" thickBot="1" x14ac:dyDescent="0.35">
      <c r="A1" s="31"/>
      <c r="B1" s="32"/>
      <c r="C1" s="30" t="s">
        <v>0</v>
      </c>
      <c r="D1" s="72" t="s">
        <v>1</v>
      </c>
      <c r="E1" s="73"/>
      <c r="J1" t="s">
        <v>2</v>
      </c>
    </row>
    <row r="2" spans="1:10" ht="21.75" customHeight="1" thickBot="1" x14ac:dyDescent="0.35">
      <c r="A2" s="72" t="s">
        <v>3</v>
      </c>
      <c r="B2" s="74"/>
      <c r="C2" s="74"/>
      <c r="D2" s="27" t="s">
        <v>4</v>
      </c>
      <c r="E2" s="33" t="s">
        <v>5</v>
      </c>
      <c r="J2" t="s">
        <v>6</v>
      </c>
    </row>
    <row r="3" spans="1:10" ht="18" customHeight="1" thickBot="1" x14ac:dyDescent="0.35">
      <c r="A3" s="122" t="s">
        <v>7</v>
      </c>
      <c r="B3" s="123"/>
      <c r="C3" s="123"/>
      <c r="D3" s="124"/>
      <c r="E3" s="125"/>
      <c r="J3" t="s">
        <v>8</v>
      </c>
    </row>
    <row r="4" spans="1:10" ht="28.2" customHeight="1" thickBot="1" x14ac:dyDescent="0.35">
      <c r="A4" s="126" t="s">
        <v>9</v>
      </c>
      <c r="B4" s="127"/>
      <c r="C4" s="127"/>
      <c r="D4" s="127"/>
      <c r="E4" s="128"/>
      <c r="J4" t="s">
        <v>10</v>
      </c>
    </row>
    <row r="5" spans="1:10" ht="28.2" customHeight="1" thickBot="1" x14ac:dyDescent="0.35">
      <c r="A5" s="129" t="s">
        <v>11</v>
      </c>
      <c r="B5" s="130"/>
      <c r="C5" s="64" t="s">
        <v>6</v>
      </c>
      <c r="D5" s="62"/>
      <c r="E5" s="63"/>
    </row>
    <row r="6" spans="1:10" ht="28.5" customHeight="1" x14ac:dyDescent="0.3">
      <c r="A6" s="129" t="s">
        <v>12</v>
      </c>
      <c r="B6" s="130"/>
      <c r="C6" s="34" t="s">
        <v>74</v>
      </c>
      <c r="D6" s="35" t="s">
        <v>13</v>
      </c>
      <c r="E6" s="59">
        <v>46072</v>
      </c>
    </row>
    <row r="7" spans="1:10" ht="30.45" customHeight="1" x14ac:dyDescent="0.3">
      <c r="A7" s="78" t="s">
        <v>14</v>
      </c>
      <c r="B7" s="108"/>
      <c r="C7" s="53" t="s">
        <v>64</v>
      </c>
      <c r="D7" s="36" t="s">
        <v>15</v>
      </c>
      <c r="E7" s="55" t="s">
        <v>65</v>
      </c>
    </row>
    <row r="8" spans="1:10" x14ac:dyDescent="0.3">
      <c r="A8" s="78" t="s">
        <v>16</v>
      </c>
      <c r="B8" s="108"/>
      <c r="C8" s="53" t="s">
        <v>66</v>
      </c>
      <c r="D8" s="36" t="s">
        <v>17</v>
      </c>
      <c r="E8" s="71"/>
      <c r="F8" s="28"/>
    </row>
    <row r="9" spans="1:10" x14ac:dyDescent="0.3">
      <c r="A9" s="78" t="s">
        <v>18</v>
      </c>
      <c r="B9" s="108"/>
      <c r="C9" s="53" t="s">
        <v>67</v>
      </c>
      <c r="D9" s="36" t="s">
        <v>19</v>
      </c>
      <c r="E9" s="55" t="s">
        <v>68</v>
      </c>
      <c r="F9" s="28"/>
    </row>
    <row r="10" spans="1:10" x14ac:dyDescent="0.3">
      <c r="A10" s="78" t="s">
        <v>20</v>
      </c>
      <c r="B10" s="108" t="s">
        <v>20</v>
      </c>
      <c r="C10" s="53" t="s">
        <v>21</v>
      </c>
      <c r="D10" s="36" t="s">
        <v>22</v>
      </c>
      <c r="E10" s="55" t="s">
        <v>23</v>
      </c>
      <c r="F10" s="28"/>
    </row>
    <row r="11" spans="1:10" x14ac:dyDescent="0.3">
      <c r="A11" s="78" t="s">
        <v>24</v>
      </c>
      <c r="B11" s="108"/>
      <c r="C11" s="53" t="s">
        <v>69</v>
      </c>
      <c r="D11" s="36" t="s">
        <v>25</v>
      </c>
      <c r="E11" s="55" t="s">
        <v>70</v>
      </c>
      <c r="F11" s="29"/>
    </row>
    <row r="12" spans="1:10" x14ac:dyDescent="0.3">
      <c r="A12" s="78" t="s">
        <v>26</v>
      </c>
      <c r="B12" s="108"/>
      <c r="C12" s="53"/>
      <c r="D12" s="36" t="s">
        <v>27</v>
      </c>
      <c r="E12" s="57" t="s">
        <v>72</v>
      </c>
    </row>
    <row r="13" spans="1:10" x14ac:dyDescent="0.3">
      <c r="A13" s="78"/>
      <c r="B13" s="108"/>
      <c r="C13" s="53"/>
      <c r="D13" s="36" t="s">
        <v>28</v>
      </c>
      <c r="E13" s="57" t="s">
        <v>72</v>
      </c>
    </row>
    <row r="14" spans="1:10" ht="15" thickBot="1" x14ac:dyDescent="0.35">
      <c r="A14" s="83" t="s">
        <v>29</v>
      </c>
      <c r="B14" s="112"/>
      <c r="C14" s="54" t="s">
        <v>73</v>
      </c>
      <c r="D14" s="37" t="s">
        <v>30</v>
      </c>
      <c r="E14" s="56" t="s">
        <v>71</v>
      </c>
    </row>
    <row r="15" spans="1:10" ht="15" thickBot="1" x14ac:dyDescent="0.35">
      <c r="A15" s="21" t="s">
        <v>31</v>
      </c>
      <c r="B15" s="22"/>
      <c r="C15" s="23" t="s">
        <v>75</v>
      </c>
      <c r="D15" s="22"/>
      <c r="E15" s="24"/>
    </row>
    <row r="16" spans="1:10" ht="15" thickBot="1" x14ac:dyDescent="0.35">
      <c r="A16" s="25"/>
      <c r="B16" s="22"/>
      <c r="C16" s="23"/>
      <c r="D16" s="22"/>
      <c r="E16" s="26"/>
    </row>
    <row r="17" spans="1:6" x14ac:dyDescent="0.3">
      <c r="A17" s="109" t="s">
        <v>32</v>
      </c>
      <c r="B17" s="113" t="s">
        <v>76</v>
      </c>
      <c r="C17" s="114"/>
      <c r="D17" s="114"/>
      <c r="E17" s="115"/>
    </row>
    <row r="18" spans="1:6" x14ac:dyDescent="0.3">
      <c r="A18" s="110"/>
      <c r="B18" s="116"/>
      <c r="C18" s="117"/>
      <c r="D18" s="117"/>
      <c r="E18" s="118"/>
    </row>
    <row r="19" spans="1:6" ht="42.75" customHeight="1" thickBot="1" x14ac:dyDescent="0.35">
      <c r="A19" s="111"/>
      <c r="B19" s="119"/>
      <c r="C19" s="120"/>
      <c r="D19" s="120"/>
      <c r="E19" s="121"/>
    </row>
    <row r="20" spans="1:6" ht="28.2" customHeight="1" thickBot="1" x14ac:dyDescent="0.35">
      <c r="A20" s="75" t="s">
        <v>33</v>
      </c>
      <c r="B20" s="76"/>
      <c r="C20" s="76"/>
      <c r="D20" s="76"/>
      <c r="E20" s="77"/>
    </row>
    <row r="21" spans="1:6" x14ac:dyDescent="0.3">
      <c r="A21" s="102" t="s">
        <v>34</v>
      </c>
      <c r="B21" s="103"/>
      <c r="C21" s="103"/>
      <c r="D21" s="96" t="s">
        <v>63</v>
      </c>
      <c r="E21" s="97"/>
    </row>
    <row r="22" spans="1:6" x14ac:dyDescent="0.3">
      <c r="A22" s="104" t="s">
        <v>35</v>
      </c>
      <c r="B22" s="105"/>
      <c r="C22" s="105"/>
      <c r="D22" s="100" t="s">
        <v>36</v>
      </c>
      <c r="E22" s="101"/>
    </row>
    <row r="23" spans="1:6" ht="15" thickBot="1" x14ac:dyDescent="0.35">
      <c r="A23" s="106" t="s">
        <v>37</v>
      </c>
      <c r="B23" s="107"/>
      <c r="C23" s="107"/>
      <c r="D23" s="98" t="s">
        <v>38</v>
      </c>
      <c r="E23" s="99"/>
    </row>
    <row r="24" spans="1:6" ht="25.95" customHeight="1" thickBot="1" x14ac:dyDescent="0.35">
      <c r="A24" s="16"/>
      <c r="B24" s="17"/>
      <c r="C24" s="17"/>
      <c r="D24" s="17"/>
      <c r="E24" s="18"/>
    </row>
    <row r="25" spans="1:6" ht="15" thickBot="1" x14ac:dyDescent="0.35">
      <c r="A25" s="85" t="s">
        <v>39</v>
      </c>
      <c r="B25" s="86"/>
      <c r="C25" s="86"/>
      <c r="D25" s="86"/>
      <c r="E25" s="87"/>
    </row>
    <row r="26" spans="1:6" ht="28.2" customHeight="1" thickBot="1" x14ac:dyDescent="0.35">
      <c r="A26" s="38" t="s">
        <v>40</v>
      </c>
      <c r="B26" s="39" t="s">
        <v>41</v>
      </c>
      <c r="C26" s="6" t="s">
        <v>42</v>
      </c>
      <c r="D26" s="6" t="s">
        <v>43</v>
      </c>
      <c r="E26" s="7" t="s">
        <v>44</v>
      </c>
    </row>
    <row r="27" spans="1:6" ht="18.45" customHeight="1" x14ac:dyDescent="0.3">
      <c r="A27" s="43">
        <v>3</v>
      </c>
      <c r="B27" s="41" t="s">
        <v>77</v>
      </c>
      <c r="C27" s="44" t="s">
        <v>78</v>
      </c>
      <c r="D27" s="42">
        <v>4407.6899999999996</v>
      </c>
      <c r="E27" s="5">
        <f>D27*A27</f>
        <v>13223.07</v>
      </c>
      <c r="F27" s="58"/>
    </row>
    <row r="28" spans="1:6" ht="18.45" customHeight="1" x14ac:dyDescent="0.3">
      <c r="A28" s="43"/>
      <c r="B28" s="41"/>
      <c r="C28" s="44"/>
      <c r="D28" s="3">
        <v>0</v>
      </c>
      <c r="E28" s="5">
        <f>D28*A28</f>
        <v>0</v>
      </c>
    </row>
    <row r="29" spans="1:6" ht="18.45" customHeight="1" x14ac:dyDescent="0.3">
      <c r="A29" s="43"/>
      <c r="B29" s="41"/>
      <c r="C29" s="44"/>
      <c r="D29" s="3">
        <v>0</v>
      </c>
      <c r="E29" s="4">
        <f>D29*A29</f>
        <v>0</v>
      </c>
    </row>
    <row r="30" spans="1:6" ht="18.45" customHeight="1" x14ac:dyDescent="0.3">
      <c r="A30" s="43"/>
      <c r="B30" s="1"/>
      <c r="C30" s="44"/>
      <c r="D30" s="45">
        <v>0</v>
      </c>
      <c r="E30" s="46">
        <v>0</v>
      </c>
    </row>
    <row r="31" spans="1:6" ht="18.45" customHeight="1" thickBot="1" x14ac:dyDescent="0.35">
      <c r="A31" s="88" t="s">
        <v>45</v>
      </c>
      <c r="B31" s="89"/>
      <c r="C31" s="89"/>
      <c r="D31" s="90"/>
      <c r="E31" s="40">
        <f>SUM(E27:E30)</f>
        <v>13223.07</v>
      </c>
    </row>
    <row r="32" spans="1:6" ht="22.95" customHeight="1" thickBot="1" x14ac:dyDescent="0.35">
      <c r="A32" s="9"/>
      <c r="B32" s="2"/>
      <c r="E32" s="10"/>
    </row>
    <row r="33" spans="1:6" ht="15" thickBot="1" x14ac:dyDescent="0.35">
      <c r="A33" s="91" t="s">
        <v>46</v>
      </c>
      <c r="B33" s="92"/>
      <c r="C33" s="92"/>
      <c r="D33" s="92"/>
      <c r="E33" s="93"/>
    </row>
    <row r="34" spans="1:6" x14ac:dyDescent="0.3">
      <c r="A34" s="94" t="s">
        <v>47</v>
      </c>
      <c r="B34" s="95"/>
      <c r="C34" s="47" t="s">
        <v>48</v>
      </c>
      <c r="D34" s="20" t="s">
        <v>15</v>
      </c>
      <c r="E34" s="70" t="s">
        <v>49</v>
      </c>
    </row>
    <row r="35" spans="1:6" x14ac:dyDescent="0.3">
      <c r="A35" s="78" t="s">
        <v>16</v>
      </c>
      <c r="B35" s="79"/>
      <c r="C35" s="44" t="s">
        <v>50</v>
      </c>
      <c r="D35" s="1" t="s">
        <v>51</v>
      </c>
      <c r="E35" s="67" t="s">
        <v>52</v>
      </c>
    </row>
    <row r="36" spans="1:6" x14ac:dyDescent="0.3">
      <c r="A36" s="78" t="s">
        <v>20</v>
      </c>
      <c r="B36" s="79"/>
      <c r="C36" s="44" t="s">
        <v>21</v>
      </c>
      <c r="D36" s="1" t="s">
        <v>22</v>
      </c>
      <c r="E36" s="68" t="s">
        <v>23</v>
      </c>
    </row>
    <row r="37" spans="1:6" x14ac:dyDescent="0.3">
      <c r="A37" s="78" t="s">
        <v>53</v>
      </c>
      <c r="B37" s="79"/>
      <c r="C37" s="66" t="s">
        <v>54</v>
      </c>
      <c r="D37" s="1" t="s">
        <v>55</v>
      </c>
      <c r="E37" s="68" t="s">
        <v>56</v>
      </c>
      <c r="F37" s="19"/>
    </row>
    <row r="38" spans="1:6" x14ac:dyDescent="0.3">
      <c r="A38" s="83" t="s">
        <v>57</v>
      </c>
      <c r="B38" s="84"/>
      <c r="C38" s="65" t="s">
        <v>54</v>
      </c>
      <c r="D38" s="11" t="s">
        <v>30</v>
      </c>
      <c r="E38" s="69" t="s">
        <v>58</v>
      </c>
    </row>
    <row r="39" spans="1:6" ht="15" thickBot="1" x14ac:dyDescent="0.35">
      <c r="A39" s="2"/>
      <c r="B39" s="2"/>
      <c r="C39" s="12"/>
      <c r="D39" s="2"/>
      <c r="E39" s="12"/>
    </row>
    <row r="40" spans="1:6" ht="15" thickBot="1" x14ac:dyDescent="0.35">
      <c r="A40" s="80" t="s">
        <v>59</v>
      </c>
      <c r="B40" s="81"/>
      <c r="C40" s="81"/>
      <c r="D40" s="81"/>
      <c r="E40" s="82"/>
    </row>
    <row r="41" spans="1:6" ht="28.2" customHeight="1" thickBot="1" x14ac:dyDescent="0.35">
      <c r="A41" s="13" t="s">
        <v>40</v>
      </c>
      <c r="B41" s="14" t="s">
        <v>41</v>
      </c>
      <c r="C41" s="14" t="s">
        <v>42</v>
      </c>
      <c r="D41" s="14" t="s">
        <v>60</v>
      </c>
      <c r="E41" s="15" t="s">
        <v>61</v>
      </c>
    </row>
    <row r="42" spans="1:6" ht="18.45" customHeight="1" x14ac:dyDescent="0.3">
      <c r="A42" s="43">
        <v>3</v>
      </c>
      <c r="B42" s="41" t="s">
        <v>77</v>
      </c>
      <c r="C42" s="44" t="s">
        <v>78</v>
      </c>
      <c r="D42" s="42">
        <v>3803.63</v>
      </c>
      <c r="E42" s="5">
        <f>D42*A42</f>
        <v>11410.89</v>
      </c>
    </row>
    <row r="43" spans="1:6" ht="18.45" customHeight="1" x14ac:dyDescent="0.3">
      <c r="A43" s="44"/>
      <c r="B43" s="41"/>
      <c r="C43" s="48"/>
      <c r="D43" s="3">
        <v>0</v>
      </c>
      <c r="E43" s="5">
        <f>D43*A43</f>
        <v>0</v>
      </c>
    </row>
    <row r="44" spans="1:6" ht="18.45" customHeight="1" x14ac:dyDescent="0.3">
      <c r="A44" s="43"/>
      <c r="B44" s="1"/>
      <c r="C44" s="1"/>
      <c r="D44" s="3">
        <v>0</v>
      </c>
      <c r="E44" s="4">
        <v>0</v>
      </c>
    </row>
    <row r="45" spans="1:6" ht="18.45" customHeight="1" thickBot="1" x14ac:dyDescent="0.35">
      <c r="A45" s="49"/>
      <c r="B45" s="11"/>
      <c r="C45" s="50"/>
      <c r="D45" s="51">
        <v>0</v>
      </c>
      <c r="E45" s="52">
        <v>0</v>
      </c>
    </row>
    <row r="46" spans="1:6" ht="18.45" customHeight="1" thickBot="1" x14ac:dyDescent="0.35">
      <c r="A46" s="75" t="s">
        <v>45</v>
      </c>
      <c r="B46" s="76"/>
      <c r="C46" s="76"/>
      <c r="D46" s="77"/>
      <c r="E46" s="8">
        <f>SUM(E42:E45)</f>
        <v>11410.89</v>
      </c>
    </row>
    <row r="47" spans="1:6" x14ac:dyDescent="0.3">
      <c r="A47" s="60" t="s">
        <v>62</v>
      </c>
      <c r="B47" s="61">
        <v>5.1943000000000001</v>
      </c>
    </row>
  </sheetData>
  <mergeCells count="32">
    <mergeCell ref="A3:E3"/>
    <mergeCell ref="A8:B8"/>
    <mergeCell ref="A10:B10"/>
    <mergeCell ref="A11:B11"/>
    <mergeCell ref="A9:B9"/>
    <mergeCell ref="A4:E4"/>
    <mergeCell ref="A6:B6"/>
    <mergeCell ref="A7:B7"/>
    <mergeCell ref="A5:B5"/>
    <mergeCell ref="A21:C21"/>
    <mergeCell ref="A22:C22"/>
    <mergeCell ref="A23:C23"/>
    <mergeCell ref="A12:B13"/>
    <mergeCell ref="A17:A19"/>
    <mergeCell ref="A14:B14"/>
    <mergeCell ref="B17:E19"/>
    <mergeCell ref="D1:E1"/>
    <mergeCell ref="A2:C2"/>
    <mergeCell ref="A46:D46"/>
    <mergeCell ref="A37:B37"/>
    <mergeCell ref="A40:E40"/>
    <mergeCell ref="A38:B38"/>
    <mergeCell ref="A36:B36"/>
    <mergeCell ref="A25:E25"/>
    <mergeCell ref="A31:D31"/>
    <mergeCell ref="A33:E33"/>
    <mergeCell ref="A34:B34"/>
    <mergeCell ref="A35:B35"/>
    <mergeCell ref="A20:E20"/>
    <mergeCell ref="D21:E21"/>
    <mergeCell ref="D23:E23"/>
    <mergeCell ref="D22:E22"/>
  </mergeCells>
  <dataValidations count="1">
    <dataValidation type="list" allowBlank="1" showInputMessage="1" showErrorMessage="1" sqref="C5" xr:uid="{77AA3C99-E691-48DD-ADBA-7BE916B7DE8F}">
      <formula1>$J$1:$J$4</formula1>
    </dataValidation>
  </dataValidations>
  <hyperlinks>
    <hyperlink ref="C38" r:id="rId1" xr:uid="{FEDF625C-2D1B-4517-97D9-6849E4CA907B}"/>
    <hyperlink ref="C37" r:id="rId2" xr:uid="{6616A7CF-E4D2-44C7-BB5B-CB0CAB46199E}"/>
    <hyperlink ref="E12" r:id="rId3" xr:uid="{2AC00515-FA77-4B91-91AE-A4D2EFFF37A7}"/>
    <hyperlink ref="E13" r:id="rId4" xr:uid="{D434D5C6-FBB3-44D6-9885-A27EBA065E03}"/>
  </hyperlinks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RQCM 001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PC-175</dc:creator>
  <cp:keywords/>
  <dc:description/>
  <cp:lastModifiedBy>Rafael Xavier Ferreira</cp:lastModifiedBy>
  <cp:revision/>
  <dcterms:created xsi:type="dcterms:W3CDTF">2020-06-01T15:15:53Z</dcterms:created>
  <dcterms:modified xsi:type="dcterms:W3CDTF">2026-02-19T20:02:40Z</dcterms:modified>
  <cp:category/>
  <cp:contentStatus/>
</cp:coreProperties>
</file>